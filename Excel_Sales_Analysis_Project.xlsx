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red\Projects\"/>
    </mc:Choice>
  </mc:AlternateContent>
  <xr:revisionPtr revIDLastSave="0" documentId="13_ncr:1_{E4057C84-7468-4049-8DFF-336EE75D6173}" xr6:coauthVersionLast="47" xr6:coauthVersionMax="47" xr10:uidLastSave="{00000000-0000-0000-0000-000000000000}"/>
  <bookViews>
    <workbookView xWindow="-108" yWindow="-108" windowWidth="23256" windowHeight="12456" tabRatio="785" xr2:uid="{00000000-000D-0000-FFFF-FFFF00000000}"/>
  </bookViews>
  <sheets>
    <sheet name="Sales_Data" sheetId="1" r:id="rId1"/>
    <sheet name="Products_Data" sheetId="2" r:id="rId2"/>
    <sheet name="Employees_Data" sheetId="3" r:id="rId3"/>
  </sheets>
  <definedNames>
    <definedName name="_xlnm._FilterDatabase" localSheetId="2" hidden="1">Employees_Data!$A$1:$H$7</definedName>
    <definedName name="_xlnm._FilterDatabase" localSheetId="1" hidden="1">Products_Data!$A$1:$G$7</definedName>
    <definedName name="_xlnm._FilterDatabase" localSheetId="0" hidden="1">Sales_Data!$A$1:$T$11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2" i="1"/>
  <c r="S2" i="1"/>
  <c r="O2" i="1"/>
  <c r="I2" i="1"/>
  <c r="L3" i="1"/>
  <c r="L4" i="1"/>
  <c r="L5" i="1"/>
  <c r="L2" i="1"/>
  <c r="T3" i="1"/>
  <c r="T4" i="1"/>
  <c r="T5" i="1"/>
  <c r="T6" i="1"/>
  <c r="T7" i="1"/>
  <c r="T8" i="1"/>
  <c r="T9" i="1"/>
  <c r="T10" i="1"/>
  <c r="T11" i="1"/>
  <c r="T2" i="1"/>
  <c r="G3" i="2"/>
  <c r="G4" i="2"/>
  <c r="G5" i="2"/>
  <c r="G6" i="2"/>
  <c r="G2" i="2"/>
  <c r="H2" i="3"/>
  <c r="H5" i="3"/>
  <c r="H4" i="3"/>
  <c r="H3" i="3"/>
  <c r="F2" i="3"/>
  <c r="S3" i="1"/>
  <c r="S4" i="1"/>
  <c r="S5" i="1"/>
  <c r="S6" i="1"/>
  <c r="S7" i="1"/>
  <c r="S8" i="1"/>
  <c r="S9" i="1"/>
  <c r="S10" i="1"/>
  <c r="S11" i="1"/>
  <c r="H7" i="1"/>
  <c r="H9" i="1"/>
  <c r="H11" i="1"/>
  <c r="H3" i="1"/>
  <c r="H5" i="1"/>
  <c r="H4" i="1"/>
  <c r="H6" i="1"/>
  <c r="H10" i="1"/>
  <c r="H2" i="1"/>
  <c r="H8" i="1"/>
  <c r="M2" i="1"/>
  <c r="N2" i="1"/>
  <c r="P2" i="1"/>
  <c r="M3" i="1"/>
  <c r="N3" i="1"/>
  <c r="O3" i="1"/>
  <c r="P3" i="1"/>
  <c r="M4" i="1"/>
  <c r="N4" i="1"/>
  <c r="O4" i="1"/>
  <c r="P4" i="1"/>
  <c r="P5" i="1"/>
  <c r="P6" i="1"/>
  <c r="P7" i="1"/>
  <c r="P8" i="1"/>
  <c r="P9" i="1"/>
  <c r="P10" i="1"/>
  <c r="P11" i="1"/>
  <c r="O5" i="1"/>
  <c r="O6" i="1"/>
  <c r="O7" i="1"/>
  <c r="O8" i="1"/>
  <c r="O9" i="1"/>
  <c r="O10" i="1"/>
  <c r="O11" i="1"/>
  <c r="M5" i="1"/>
  <c r="M6" i="1"/>
  <c r="M7" i="1"/>
  <c r="M8" i="1"/>
  <c r="M9" i="1"/>
  <c r="M10" i="1"/>
  <c r="M11" i="1"/>
  <c r="N5" i="1"/>
  <c r="N6" i="1"/>
  <c r="N7" i="1"/>
  <c r="N8" i="1"/>
  <c r="N9" i="1"/>
  <c r="N10" i="1"/>
  <c r="N11" i="1"/>
  <c r="Q9" i="1" l="1"/>
  <c r="Q7" i="1"/>
  <c r="Q8" i="1"/>
  <c r="Q11" i="1"/>
  <c r="Q6" i="1"/>
  <c r="Q10" i="1"/>
  <c r="K3" i="1"/>
  <c r="Q3" i="1"/>
  <c r="K4" i="1"/>
  <c r="Q4" i="1"/>
  <c r="K5" i="1"/>
  <c r="Q5" i="1"/>
  <c r="K2" i="1"/>
  <c r="Q2" i="1"/>
</calcChain>
</file>

<file path=xl/sharedStrings.xml><?xml version="1.0" encoding="utf-8"?>
<sst xmlns="http://schemas.openxmlformats.org/spreadsheetml/2006/main" count="136" uniqueCount="83">
  <si>
    <t>Order_ID</t>
  </si>
  <si>
    <t>Date</t>
  </si>
  <si>
    <t>Customer</t>
  </si>
  <si>
    <t>Product_ID</t>
  </si>
  <si>
    <t>Quantity</t>
  </si>
  <si>
    <t>Unit_Price</t>
  </si>
  <si>
    <t>Region</t>
  </si>
  <si>
    <t>2025-01-05</t>
  </si>
  <si>
    <t>David</t>
  </si>
  <si>
    <t>P101</t>
  </si>
  <si>
    <t>North</t>
  </si>
  <si>
    <t>2025-01-07</t>
  </si>
  <si>
    <t>Maya</t>
  </si>
  <si>
    <t>P102</t>
  </si>
  <si>
    <t>South</t>
  </si>
  <si>
    <t>2025-01-08</t>
  </si>
  <si>
    <t>Noam</t>
  </si>
  <si>
    <t>P103</t>
  </si>
  <si>
    <t>East</t>
  </si>
  <si>
    <t>2025-01-10</t>
  </si>
  <si>
    <t>Yael</t>
  </si>
  <si>
    <t>West</t>
  </si>
  <si>
    <t>2025-01-12</t>
  </si>
  <si>
    <t>Eitan</t>
  </si>
  <si>
    <t>P104</t>
  </si>
  <si>
    <t>2025-01-15</t>
  </si>
  <si>
    <t>Lior</t>
  </si>
  <si>
    <t>2025-01-18</t>
  </si>
  <si>
    <t>Tamar</t>
  </si>
  <si>
    <t>P105</t>
  </si>
  <si>
    <t>2025-01-20</t>
  </si>
  <si>
    <t>Omer</t>
  </si>
  <si>
    <t>2025-01-22</t>
  </si>
  <si>
    <t>Roni</t>
  </si>
  <si>
    <t>2025-01-25</t>
  </si>
  <si>
    <t>Shira</t>
  </si>
  <si>
    <t>Product_Name</t>
  </si>
  <si>
    <t>Category</t>
  </si>
  <si>
    <t>Cost_Price</t>
  </si>
  <si>
    <t>Laptop</t>
  </si>
  <si>
    <t>Electronics</t>
  </si>
  <si>
    <t>Keyboard</t>
  </si>
  <si>
    <t>Accessories</t>
  </si>
  <si>
    <t>Monitor</t>
  </si>
  <si>
    <t>Office Chair</t>
  </si>
  <si>
    <t>Furniture</t>
  </si>
  <si>
    <t>Smartphone</t>
  </si>
  <si>
    <t>Employee_ID</t>
  </si>
  <si>
    <t>Employee_Name</t>
  </si>
  <si>
    <t>Department</t>
  </si>
  <si>
    <t>Salary</t>
  </si>
  <si>
    <t>Bonus</t>
  </si>
  <si>
    <t>Daniel</t>
  </si>
  <si>
    <t>Sales</t>
  </si>
  <si>
    <t>Leah</t>
  </si>
  <si>
    <t>IT</t>
  </si>
  <si>
    <t>Yossi</t>
  </si>
  <si>
    <t>Michal</t>
  </si>
  <si>
    <t>HR</t>
  </si>
  <si>
    <t>Avi</t>
  </si>
  <si>
    <t>Dana</t>
  </si>
  <si>
    <t>Finance</t>
  </si>
  <si>
    <t>Total Revenue per order</t>
  </si>
  <si>
    <t>Total revenue for all sales</t>
  </si>
  <si>
    <t>Average Salary</t>
  </si>
  <si>
    <t>Product_Name_By_VLOOKUP</t>
  </si>
  <si>
    <t>Product_Name_By_XLOOKUP</t>
  </si>
  <si>
    <t>Cost_Price_By_XLOOKUP</t>
  </si>
  <si>
    <t>Cost_Price_By_VLOOKUP</t>
  </si>
  <si>
    <t>Category_By_XLOOKUP</t>
  </si>
  <si>
    <t>Number of employees per department</t>
  </si>
  <si>
    <t xml:space="preserve"> Total revenue per Region-Sum</t>
  </si>
  <si>
    <t xml:space="preserve"> Total Revenue per order-Sum</t>
  </si>
  <si>
    <t xml:space="preserve"> Salary- Average</t>
  </si>
  <si>
    <t>Product Name</t>
  </si>
  <si>
    <t>Total</t>
  </si>
  <si>
    <t>Total Revenue per order-Sum</t>
  </si>
  <si>
    <t>Product Rank</t>
  </si>
  <si>
    <t>Order Classification By Revenue</t>
  </si>
  <si>
    <t>Profit Per Order</t>
  </si>
  <si>
    <t>Total Revenue Per Region</t>
  </si>
  <si>
    <t>Contribution Percentage Of Each Region From Total Revenue</t>
  </si>
  <si>
    <t>Category_By_VLOOKUP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</si>
</sst>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ורד בן-יהודה" refreshedDate="46070.787104513889" createdVersion="8" refreshedVersion="8" minRefreshableVersion="3" recordCount="4" xr:uid="{62E37CF9-ED16-4875-A2D0-28693C2DD74F}">
  <cacheSource type="worksheet">
    <worksheetSource ref="J1:K5" sheet="Sales_Data"/>
  </cacheSource>
  <cacheFields count="2">
    <cacheField name="Region" numFmtId="0">
      <sharedItems count="4">
        <s v="North"/>
        <s v="South"/>
        <s v="East"/>
        <s v="West"/>
      </sharedItems>
    </cacheField>
    <cacheField name="Total revenue per Region" numFmtId="0">
      <sharedItems containsSemiMixedTypes="0" containsString="0" containsNumber="1" containsInteger="1" minValue="570" maxValue="2380" count="4">
        <n v="1360"/>
        <n v="2380"/>
        <n v="900"/>
        <n v="57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ורד בן-יהודה" refreshedDate="46070.795137847221" createdVersion="8" refreshedVersion="8" minRefreshableVersion="3" recordCount="10" xr:uid="{D50EEC2F-944F-42DE-BDDE-539BDFC0668A}">
  <cacheSource type="worksheet">
    <worksheetSource ref="A1:S11" sheet="Sales_Data"/>
  </cacheSource>
  <cacheFields count="17">
    <cacheField name="Order_ID" numFmtId="0">
      <sharedItems containsSemiMixedTypes="0" containsString="0" containsNumber="1" containsInteger="1" minValue="1001" maxValue="1010"/>
    </cacheField>
    <cacheField name="Date" numFmtId="0">
      <sharedItems/>
    </cacheField>
    <cacheField name="Customer" numFmtId="0">
      <sharedItems/>
    </cacheField>
    <cacheField name="Product_ID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containsInteger="1" minValue="80" maxValue="300"/>
    </cacheField>
    <cacheField name="Region" numFmtId="0">
      <sharedItems/>
    </cacheField>
    <cacheField name="Total Revenue per order" numFmtId="0">
      <sharedItems containsSemiMixedTypes="0" containsString="0" containsNumber="1" containsInteger="1" minValue="120" maxValue="1500"/>
    </cacheField>
    <cacheField name="Total revenue for all sales" numFmtId="0">
      <sharedItems containsString="0" containsBlank="1" containsNumber="1" containsInteger="1" minValue="5210" maxValue="5210"/>
    </cacheField>
    <cacheField name="Region2" numFmtId="0">
      <sharedItems containsBlank="1"/>
    </cacheField>
    <cacheField name="Total revenue per Region" numFmtId="0">
      <sharedItems containsString="0" containsBlank="1" containsNumber="1" containsInteger="1" minValue="570" maxValue="2380"/>
    </cacheField>
    <cacheField name="Product_Name_By_VLOOKUP" numFmtId="0">
      <sharedItems/>
    </cacheField>
    <cacheField name="Product_Name_By_XLOOKUP" numFmtId="0">
      <sharedItems count="5">
        <s v="Smartphone"/>
        <s v="Office Chair"/>
        <s v="Keyboard"/>
        <s v="Monitor"/>
        <s v="Laptop"/>
      </sharedItems>
    </cacheField>
    <cacheField name="Cost_Price_By_VLOOKUP" numFmtId="0">
      <sharedItems containsSemiMixedTypes="0" containsString="0" containsNumber="1" containsInteger="1" minValue="40" maxValue="220"/>
    </cacheField>
    <cacheField name="Cost_Price_By_XLOOKUP" numFmtId="0">
      <sharedItems containsSemiMixedTypes="0" containsString="0" containsNumber="1" containsInteger="1" minValue="40" maxValue="220"/>
    </cacheField>
    <cacheField name="Profit per order" numFmtId="0">
      <sharedItems containsSemiMixedTypes="0" containsString="0" containsNumber="1" containsInteger="1" minValue="30" maxValue="400"/>
    </cacheField>
    <cacheField name="Category_By_XLOOKUP" numFmtId="0">
      <sharedItems count="3">
        <s v="Electronics"/>
        <s v="Furniture"/>
        <s v="Accessor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ורד בן-יהודה" refreshedDate="46070.799061458332" createdVersion="8" refreshedVersion="8" minRefreshableVersion="3" recordCount="6" xr:uid="{73172E01-3515-4207-90D2-540D78A49379}">
  <cacheSource type="worksheet">
    <worksheetSource ref="A1:H7" sheet="Employees_Data"/>
  </cacheSource>
  <cacheFields count="8">
    <cacheField name="Employee_ID" numFmtId="0">
      <sharedItems containsSemiMixedTypes="0" containsString="0" containsNumber="1" containsInteger="1" minValue="1" maxValue="6"/>
    </cacheField>
    <cacheField name="Employee_Name" numFmtId="0">
      <sharedItems/>
    </cacheField>
    <cacheField name="Department" numFmtId="0">
      <sharedItems count="4">
        <s v="Sales"/>
        <s v="IT"/>
        <s v="HR"/>
        <s v="Finance"/>
      </sharedItems>
    </cacheField>
    <cacheField name="Salary" numFmtId="0">
      <sharedItems containsSemiMixedTypes="0" containsString="0" containsNumber="1" containsInteger="1" minValue="9000" maxValue="17000"/>
    </cacheField>
    <cacheField name="Bonus" numFmtId="0">
      <sharedItems containsSemiMixedTypes="0" containsString="0" containsNumber="1" containsInteger="1" minValue="800" maxValue="2500"/>
    </cacheField>
    <cacheField name="Average Salary" numFmtId="0">
      <sharedItems containsString="0" containsBlank="1" containsNumber="1" containsInteger="1" minValue="13000" maxValue="13000"/>
    </cacheField>
    <cacheField name="Department2" numFmtId="0">
      <sharedItems containsBlank="1"/>
    </cacheField>
    <cacheField name="Number of employees per department" numFmtId="0">
      <sharedItems containsString="0" containsBlank="1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</r>
  <r>
    <x v="1"/>
    <x v="1"/>
  </r>
  <r>
    <x v="2"/>
    <x v="2"/>
  </r>
  <r>
    <x v="3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10"/>
    <s v="2025-01-25"/>
    <s v="Shira"/>
    <s v="P105"/>
    <n v="5"/>
    <n v="300"/>
    <s v="South"/>
    <n v="1500"/>
    <n v="5210"/>
    <s v="North"/>
    <n v="1360"/>
    <s v="Smartphone"/>
    <x v="0"/>
    <n v="220"/>
    <n v="220"/>
    <n v="400"/>
    <x v="0"/>
  </r>
  <r>
    <n v="1005"/>
    <s v="2025-01-12"/>
    <s v="Eitan"/>
    <s v="P104"/>
    <n v="4"/>
    <n v="200"/>
    <s v="North"/>
    <n v="800"/>
    <m/>
    <s v="South"/>
    <n v="2380"/>
    <s v="Office Chair"/>
    <x v="1"/>
    <n v="150"/>
    <n v="150"/>
    <n v="200"/>
    <x v="1"/>
  </r>
  <r>
    <n v="1007"/>
    <s v="2025-01-18"/>
    <s v="Tamar"/>
    <s v="P105"/>
    <n v="2"/>
    <n v="300"/>
    <s v="East"/>
    <n v="600"/>
    <m/>
    <s v="East"/>
    <n v="900"/>
    <s v="Smartphone"/>
    <x v="0"/>
    <n v="220"/>
    <n v="220"/>
    <n v="160"/>
    <x v="0"/>
  </r>
  <r>
    <n v="1006"/>
    <s v="2025-01-15"/>
    <s v="Lior"/>
    <s v="P102"/>
    <n v="6"/>
    <n v="80"/>
    <s v="South"/>
    <n v="480"/>
    <m/>
    <s v="West"/>
    <n v="570"/>
    <s v="Keyboard"/>
    <x v="2"/>
    <n v="40"/>
    <n v="40"/>
    <n v="240"/>
    <x v="2"/>
  </r>
  <r>
    <n v="1008"/>
    <s v="2025-01-20"/>
    <s v="Omer"/>
    <s v="P103"/>
    <n v="3"/>
    <n v="150"/>
    <s v="West"/>
    <n v="450"/>
    <m/>
    <m/>
    <m/>
    <s v="Monitor"/>
    <x v="3"/>
    <n v="110"/>
    <n v="110"/>
    <n v="120"/>
    <x v="0"/>
  </r>
  <r>
    <n v="1002"/>
    <s v="2025-01-07"/>
    <s v="Maya"/>
    <s v="P102"/>
    <n v="5"/>
    <n v="80"/>
    <s v="South"/>
    <n v="400"/>
    <m/>
    <m/>
    <m/>
    <s v="Keyboard"/>
    <x v="2"/>
    <n v="40"/>
    <n v="40"/>
    <n v="200"/>
    <x v="2"/>
  </r>
  <r>
    <n v="1001"/>
    <s v="2025-01-05"/>
    <s v="David"/>
    <s v="P101"/>
    <n v="3"/>
    <n v="120"/>
    <s v="North"/>
    <n v="360"/>
    <m/>
    <m/>
    <m/>
    <s v="Laptop"/>
    <x v="4"/>
    <n v="90"/>
    <n v="90"/>
    <n v="90"/>
    <x v="0"/>
  </r>
  <r>
    <n v="1003"/>
    <s v="2025-01-08"/>
    <s v="Noam"/>
    <s v="P103"/>
    <n v="2"/>
    <n v="150"/>
    <s v="East"/>
    <n v="300"/>
    <m/>
    <m/>
    <m/>
    <s v="Monitor"/>
    <x v="3"/>
    <n v="110"/>
    <n v="110"/>
    <n v="80"/>
    <x v="0"/>
  </r>
  <r>
    <n v="1009"/>
    <s v="2025-01-22"/>
    <s v="Roni"/>
    <s v="P104"/>
    <n v="1"/>
    <n v="200"/>
    <s v="North"/>
    <n v="200"/>
    <m/>
    <m/>
    <m/>
    <s v="Office Chair"/>
    <x v="1"/>
    <n v="150"/>
    <n v="150"/>
    <n v="50"/>
    <x v="1"/>
  </r>
  <r>
    <n v="1004"/>
    <s v="2025-01-10"/>
    <s v="Yael"/>
    <s v="P101"/>
    <n v="1"/>
    <n v="120"/>
    <s v="West"/>
    <n v="120"/>
    <m/>
    <m/>
    <m/>
    <s v="Laptop"/>
    <x v="4"/>
    <n v="90"/>
    <n v="90"/>
    <n v="3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s v="Daniel"/>
    <x v="0"/>
    <n v="12000"/>
    <n v="1500"/>
    <n v="13000"/>
    <s v="IT"/>
    <n v="2"/>
  </r>
  <r>
    <n v="2"/>
    <s v="Leah"/>
    <x v="1"/>
    <n v="15000"/>
    <n v="2000"/>
    <m/>
    <s v="Sales"/>
    <n v="2"/>
  </r>
  <r>
    <n v="3"/>
    <s v="Yossi"/>
    <x v="0"/>
    <n v="11000"/>
    <n v="1200"/>
    <m/>
    <s v="HR"/>
    <n v="1"/>
  </r>
  <r>
    <n v="4"/>
    <s v="Michal"/>
    <x v="2"/>
    <n v="9000"/>
    <n v="800"/>
    <m/>
    <s v="Finance"/>
    <n v="1"/>
  </r>
  <r>
    <n v="5"/>
    <s v="Avi"/>
    <x v="1"/>
    <n v="17000"/>
    <n v="2500"/>
    <m/>
    <m/>
    <m/>
  </r>
  <r>
    <n v="6"/>
    <s v="Dana"/>
    <x v="3"/>
    <n v="14000"/>
    <n v="18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B613D-3B10-4FF4-9690-28C5C732DCBF}" name="PivotTable7" cacheId="0" applyNumberFormats="0" applyBorderFormats="0" applyFontFormats="0" applyPatternFormats="0" applyAlignmentFormats="0" applyWidthHeightFormats="1" dataCaption="ערכים" grandTotalCaption="Total" updatedVersion="8" minRefreshableVersion="3" useAutoFormatting="1" itemPrintTitles="1" createdVersion="8" indent="0" outline="1" outlineData="1" multipleFieldFilters="0" rowHeaderCaption="Region">
  <location ref="A16:B21" firstHeaderRow="1" firstDataRow="1" firstDataCol="1"/>
  <pivotFields count="2">
    <pivotField axis="axisRow" showAll="0">
      <items count="5">
        <item x="2"/>
        <item x="0"/>
        <item x="1"/>
        <item x="3"/>
        <item t="default"/>
      </items>
    </pivotField>
    <pivotField dataField="1" showAll="0">
      <items count="5">
        <item x="3"/>
        <item x="2"/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 revenue per Region-Sum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F1993-BA5E-4566-B867-CB16BD15E217}" name="PivotTable6" cacheId="1" applyNumberFormats="0" applyBorderFormats="0" applyFontFormats="0" applyPatternFormats="0" applyAlignmentFormats="0" applyWidthHeightFormats="1" dataCaption="ערכים" grandTotalCaption="Total" updatedVersion="8" minRefreshableVersion="3" useAutoFormatting="1" itemPrintTitles="1" createdVersion="8" indent="0" outline="1" outlineData="1" multipleFieldFilters="0" rowHeaderCaption="Category">
  <location ref="D16:E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Total Revenue per order-Sum" fld="7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1907D2-CD35-41D7-9424-774E4DAA34A5}" name="PivotTable5" cacheId="2" applyNumberFormats="0" applyBorderFormats="0" applyFontFormats="0" applyPatternFormats="0" applyAlignmentFormats="0" applyWidthHeightFormats="1" dataCaption="ערכים" grandTotalCaption="Total" updatedVersion="8" minRefreshableVersion="3" useAutoFormatting="1" itemPrintTitles="1" createdVersion="8" indent="0" outline="1" outlineData="1" multipleFieldFilters="0" rowHeaderCaption="Department">
  <location ref="G16:H21" firstHeaderRow="1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Salary- Average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170D1-7C60-4653-800E-06FC64CF671A}" name="PivotTable8" cacheId="1" applyNumberFormats="0" applyBorderFormats="0" applyFontFormats="0" applyPatternFormats="0" applyAlignmentFormats="0" applyWidthHeightFormats="1" dataCaption="ערכים" grandTotalCaption="Total" updatedVersion="8" minRefreshableVersion="3" useAutoFormatting="1" itemPrintTitles="1" createdVersion="8" indent="0" outline="1" outlineData="1" multipleFieldFilters="0" rowHeaderCaption="Product Name">
  <location ref="E1:F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4"/>
        <item x="3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Revenue per order-Sum" fld="7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M1" workbookViewId="0">
      <selection activeCell="M1" sqref="A1:XFD1048576"/>
    </sheetView>
  </sheetViews>
  <sheetFormatPr defaultColWidth="22.19921875" defaultRowHeight="13.8" x14ac:dyDescent="0.25"/>
  <cols>
    <col min="1" max="1" width="10.69921875" bestFit="1" customWidth="1"/>
    <col min="2" max="2" width="28.59765625" bestFit="1" customWidth="1"/>
    <col min="3" max="3" width="11.5" bestFit="1" customWidth="1"/>
    <col min="4" max="4" width="12.5" bestFit="1" customWidth="1"/>
    <col min="5" max="5" width="27.69921875" bestFit="1" customWidth="1"/>
    <col min="6" max="6" width="11.8984375" bestFit="1" customWidth="1"/>
    <col min="7" max="7" width="11.19921875" bestFit="1" customWidth="1"/>
    <col min="8" max="8" width="24.5" bestFit="1" customWidth="1"/>
    <col min="9" max="9" width="25.796875" bestFit="1" customWidth="1"/>
    <col min="10" max="10" width="9.09765625" bestFit="1" customWidth="1"/>
    <col min="11" max="11" width="26.09765625" bestFit="1" customWidth="1"/>
    <col min="12" max="12" width="57.59765625" bestFit="1" customWidth="1"/>
    <col min="13" max="13" width="29.59765625" bestFit="1" customWidth="1"/>
    <col min="14" max="14" width="29.5" bestFit="1" customWidth="1"/>
    <col min="15" max="15" width="26.09765625" bestFit="1" customWidth="1"/>
    <col min="16" max="16" width="26" bestFit="1" customWidth="1"/>
    <col min="17" max="17" width="16.69921875" bestFit="1" customWidth="1"/>
    <col min="18" max="18" width="24.59765625" bestFit="1" customWidth="1"/>
    <col min="19" max="19" width="24.5" bestFit="1" customWidth="1"/>
    <col min="20" max="20" width="29.898437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62</v>
      </c>
      <c r="I1" s="2" t="s">
        <v>63</v>
      </c>
      <c r="J1" s="2" t="s">
        <v>6</v>
      </c>
      <c r="K1" s="2" t="s">
        <v>80</v>
      </c>
      <c r="L1" s="2" t="s">
        <v>81</v>
      </c>
      <c r="M1" s="2" t="s">
        <v>65</v>
      </c>
      <c r="N1" s="2" t="s">
        <v>66</v>
      </c>
      <c r="O1" s="1" t="s">
        <v>68</v>
      </c>
      <c r="P1" s="2" t="s">
        <v>67</v>
      </c>
      <c r="Q1" s="2" t="s">
        <v>79</v>
      </c>
      <c r="R1" s="2" t="s">
        <v>82</v>
      </c>
      <c r="S1" s="2" t="s">
        <v>69</v>
      </c>
      <c r="T1" s="2" t="s">
        <v>78</v>
      </c>
    </row>
    <row r="2" spans="1:20" x14ac:dyDescent="0.25">
      <c r="A2">
        <v>1010</v>
      </c>
      <c r="B2" t="s">
        <v>34</v>
      </c>
      <c r="C2" t="s">
        <v>35</v>
      </c>
      <c r="D2" t="s">
        <v>29</v>
      </c>
      <c r="E2">
        <v>5</v>
      </c>
      <c r="F2">
        <v>300</v>
      </c>
      <c r="G2" t="s">
        <v>14</v>
      </c>
      <c r="H2">
        <f t="shared" ref="H2:H11" si="0">E2*F2</f>
        <v>1500</v>
      </c>
      <c r="I2">
        <f>SUM(H2:H11)</f>
        <v>5210</v>
      </c>
      <c r="J2" t="s">
        <v>10</v>
      </c>
      <c r="K2">
        <f>SUMIF($G:$G,J2,$H:$H)</f>
        <v>1360</v>
      </c>
      <c r="L2">
        <f>B17/SUM($B$17:$B$20)</f>
        <v>0.17274472168905949</v>
      </c>
      <c r="M2" t="str">
        <f>VLOOKUP(D2,Products_Data!$A:$D,2,FALSE)</f>
        <v>Smartphone</v>
      </c>
      <c r="N2" t="str">
        <f>_xlfn.XLOOKUP(D2,Products_Data!$A:$A,Products_Data!$B:$B)</f>
        <v>Smartphone</v>
      </c>
      <c r="O2">
        <f>VLOOKUP(D2,Products_Data!$A:$D,4,FALSE)</f>
        <v>220</v>
      </c>
      <c r="P2">
        <f>_xlfn.XLOOKUP(D2,Products_Data!$A:$A,Products_Data!$D:$D)</f>
        <v>220</v>
      </c>
      <c r="Q2">
        <f t="shared" ref="Q2:Q11" si="1">H2-(O2*E2)</f>
        <v>400</v>
      </c>
      <c r="R2" t="str">
        <f>VLOOKUP(D2,Products_Data!$A:$D,3,FALSE)</f>
        <v>Electronics</v>
      </c>
      <c r="S2" t="str">
        <f>_xlfn.XLOOKUP(D2,Products_Data!$A:$A,Products_Data!$C:$C)</f>
        <v>Electronics</v>
      </c>
      <c r="T2" t="str">
        <f>IF(H2&gt;500,"High","Low")</f>
        <v>High</v>
      </c>
    </row>
    <row r="3" spans="1:20" x14ac:dyDescent="0.25">
      <c r="A3">
        <v>1005</v>
      </c>
      <c r="B3" t="s">
        <v>22</v>
      </c>
      <c r="C3" t="s">
        <v>23</v>
      </c>
      <c r="D3" t="s">
        <v>24</v>
      </c>
      <c r="E3">
        <v>4</v>
      </c>
      <c r="F3">
        <v>200</v>
      </c>
      <c r="G3" t="s">
        <v>10</v>
      </c>
      <c r="H3">
        <f t="shared" si="0"/>
        <v>800</v>
      </c>
      <c r="J3" t="s">
        <v>14</v>
      </c>
      <c r="K3">
        <f>SUMIF($G:$G,J3,$H:$H)</f>
        <v>2380</v>
      </c>
      <c r="L3">
        <f t="shared" ref="L3:L5" si="2">B18/SUM($B$17:$B$20)</f>
        <v>0.26103646833013433</v>
      </c>
      <c r="M3" t="str">
        <f>VLOOKUP(D3,Products_Data!$A:$D,2,FALSE)</f>
        <v>Office Chair</v>
      </c>
      <c r="N3" t="str">
        <f>_xlfn.XLOOKUP(D3,Products_Data!$A:$A,Products_Data!$B:$B)</f>
        <v>Office Chair</v>
      </c>
      <c r="O3">
        <f>VLOOKUP(D3,Products_Data!$A:$D,4,FALSE)</f>
        <v>150</v>
      </c>
      <c r="P3">
        <f>_xlfn.XLOOKUP(D3,Products_Data!$A:$A,Products_Data!$D:$D)</f>
        <v>150</v>
      </c>
      <c r="Q3">
        <f t="shared" si="1"/>
        <v>200</v>
      </c>
      <c r="R3" t="str">
        <f>VLOOKUP(D3,Products_Data!$A:$D,3,FALSE)</f>
        <v>Furniture</v>
      </c>
      <c r="S3" t="str">
        <f>_xlfn.XLOOKUP(D3,Products_Data!$A:$A,Products_Data!$C:$C)</f>
        <v>Furniture</v>
      </c>
      <c r="T3" t="str">
        <f>IF(H3&gt;500,"High","Low")</f>
        <v>High</v>
      </c>
    </row>
    <row r="4" spans="1:20" x14ac:dyDescent="0.25">
      <c r="A4">
        <v>1007</v>
      </c>
      <c r="B4" t="s">
        <v>27</v>
      </c>
      <c r="C4" t="s">
        <v>28</v>
      </c>
      <c r="D4" t="s">
        <v>29</v>
      </c>
      <c r="E4">
        <v>2</v>
      </c>
      <c r="F4">
        <v>300</v>
      </c>
      <c r="G4" t="s">
        <v>18</v>
      </c>
      <c r="H4">
        <f t="shared" si="0"/>
        <v>600</v>
      </c>
      <c r="J4" t="s">
        <v>18</v>
      </c>
      <c r="K4">
        <f>SUMIF($G:$G,J4,$H:$H)</f>
        <v>900</v>
      </c>
      <c r="L4">
        <f t="shared" si="2"/>
        <v>0.45681381957773515</v>
      </c>
      <c r="M4" t="str">
        <f>VLOOKUP(D4,Products_Data!$A:$D,2,FALSE)</f>
        <v>Smartphone</v>
      </c>
      <c r="N4" t="str">
        <f>_xlfn.XLOOKUP(D4,Products_Data!$A:$A,Products_Data!$B:$B)</f>
        <v>Smartphone</v>
      </c>
      <c r="O4">
        <f>VLOOKUP(D4,Products_Data!$A:$D,4,FALSE)</f>
        <v>220</v>
      </c>
      <c r="P4">
        <f>_xlfn.XLOOKUP(D4,Products_Data!$A:$A,Products_Data!$D:$D)</f>
        <v>220</v>
      </c>
      <c r="Q4">
        <f t="shared" si="1"/>
        <v>160</v>
      </c>
      <c r="R4" t="str">
        <f>VLOOKUP(D4,Products_Data!$A:$D,3,FALSE)</f>
        <v>Electronics</v>
      </c>
      <c r="S4" t="str">
        <f>_xlfn.XLOOKUP(D4,Products_Data!$A:$A,Products_Data!$C:$C)</f>
        <v>Electronics</v>
      </c>
      <c r="T4" t="str">
        <f>IF(H4&gt;500,"High","Low")</f>
        <v>High</v>
      </c>
    </row>
    <row r="5" spans="1:20" x14ac:dyDescent="0.25">
      <c r="A5">
        <v>1006</v>
      </c>
      <c r="B5" t="s">
        <v>25</v>
      </c>
      <c r="C5" t="s">
        <v>26</v>
      </c>
      <c r="D5" t="s">
        <v>13</v>
      </c>
      <c r="E5">
        <v>6</v>
      </c>
      <c r="F5">
        <v>80</v>
      </c>
      <c r="G5" t="s">
        <v>14</v>
      </c>
      <c r="H5">
        <f t="shared" si="0"/>
        <v>480</v>
      </c>
      <c r="J5" t="s">
        <v>21</v>
      </c>
      <c r="K5">
        <f>SUMIF($G:$G,J5,$H:$H)</f>
        <v>570</v>
      </c>
      <c r="L5">
        <f t="shared" si="2"/>
        <v>0.10940499040307101</v>
      </c>
      <c r="M5" t="str">
        <f>VLOOKUP(D5,Products_Data!$A:$D,2,FALSE)</f>
        <v>Keyboard</v>
      </c>
      <c r="N5" t="str">
        <f>_xlfn.XLOOKUP(D5,Products_Data!$A:$A,Products_Data!$B:$B)</f>
        <v>Keyboard</v>
      </c>
      <c r="O5">
        <f>VLOOKUP(D5,Products_Data!$A:$D,4,FALSE)</f>
        <v>40</v>
      </c>
      <c r="P5">
        <f>_xlfn.XLOOKUP(D5,Products_Data!$A:$A,Products_Data!$D:$D)</f>
        <v>40</v>
      </c>
      <c r="Q5">
        <f t="shared" si="1"/>
        <v>240</v>
      </c>
      <c r="R5" t="str">
        <f>VLOOKUP(D5,Products_Data!$A:$D,3,FALSE)</f>
        <v>Accessories</v>
      </c>
      <c r="S5" t="str">
        <f>_xlfn.XLOOKUP(D5,Products_Data!$A:$A,Products_Data!$C:$C)</f>
        <v>Accessories</v>
      </c>
      <c r="T5" t="str">
        <f>IF(H5&gt;500,"High","Low")</f>
        <v>Low</v>
      </c>
    </row>
    <row r="6" spans="1:20" x14ac:dyDescent="0.25">
      <c r="A6">
        <v>1008</v>
      </c>
      <c r="B6" t="s">
        <v>30</v>
      </c>
      <c r="C6" t="s">
        <v>31</v>
      </c>
      <c r="D6" t="s">
        <v>17</v>
      </c>
      <c r="E6">
        <v>3</v>
      </c>
      <c r="F6">
        <v>150</v>
      </c>
      <c r="G6" t="s">
        <v>21</v>
      </c>
      <c r="H6">
        <f t="shared" si="0"/>
        <v>450</v>
      </c>
      <c r="M6" t="str">
        <f>VLOOKUP(D6,Products_Data!$A:$D,2,FALSE)</f>
        <v>Monitor</v>
      </c>
      <c r="N6" t="str">
        <f>_xlfn.XLOOKUP(D6,Products_Data!$A:$A,Products_Data!$B:$B)</f>
        <v>Monitor</v>
      </c>
      <c r="O6">
        <f>VLOOKUP(D6,Products_Data!$A:$D,4,FALSE)</f>
        <v>110</v>
      </c>
      <c r="P6">
        <f>_xlfn.XLOOKUP(D6,Products_Data!$A:$A,Products_Data!$D:$D)</f>
        <v>110</v>
      </c>
      <c r="Q6">
        <f t="shared" si="1"/>
        <v>120</v>
      </c>
      <c r="R6" t="str">
        <f>VLOOKUP(D6,Products_Data!$A:$D,3,FALSE)</f>
        <v>Electronics</v>
      </c>
      <c r="S6" t="str">
        <f>_xlfn.XLOOKUP(D6,Products_Data!$A:$A,Products_Data!$C:$C)</f>
        <v>Electronics</v>
      </c>
      <c r="T6" t="str">
        <f>IF(H6&gt;500,"High","Low")</f>
        <v>Low</v>
      </c>
    </row>
    <row r="7" spans="1:20" x14ac:dyDescent="0.25">
      <c r="A7">
        <v>1002</v>
      </c>
      <c r="B7" t="s">
        <v>11</v>
      </c>
      <c r="C7" t="s">
        <v>12</v>
      </c>
      <c r="D7" t="s">
        <v>13</v>
      </c>
      <c r="E7">
        <v>5</v>
      </c>
      <c r="F7">
        <v>80</v>
      </c>
      <c r="G7" t="s">
        <v>14</v>
      </c>
      <c r="H7">
        <f t="shared" si="0"/>
        <v>400</v>
      </c>
      <c r="M7" t="str">
        <f>VLOOKUP(D7,Products_Data!$A:$D,2,FALSE)</f>
        <v>Keyboard</v>
      </c>
      <c r="N7" t="str">
        <f>_xlfn.XLOOKUP(D7,Products_Data!$A:$A,Products_Data!$B:$B)</f>
        <v>Keyboard</v>
      </c>
      <c r="O7">
        <f>VLOOKUP(D7,Products_Data!$A:$D,4,FALSE)</f>
        <v>40</v>
      </c>
      <c r="P7">
        <f>_xlfn.XLOOKUP(D7,Products_Data!$A:$A,Products_Data!$D:$D)</f>
        <v>40</v>
      </c>
      <c r="Q7">
        <f t="shared" si="1"/>
        <v>200</v>
      </c>
      <c r="R7" t="str">
        <f>VLOOKUP(D7,Products_Data!$A:$D,3,FALSE)</f>
        <v>Accessories</v>
      </c>
      <c r="S7" t="str">
        <f>_xlfn.XLOOKUP(D7,Products_Data!$A:$A,Products_Data!$C:$C)</f>
        <v>Accessories</v>
      </c>
      <c r="T7" t="str">
        <f>IF(H7&gt;500,"High","Low")</f>
        <v>Low</v>
      </c>
    </row>
    <row r="8" spans="1:20" x14ac:dyDescent="0.25">
      <c r="A8">
        <v>1001</v>
      </c>
      <c r="B8" t="s">
        <v>7</v>
      </c>
      <c r="C8" t="s">
        <v>8</v>
      </c>
      <c r="D8" t="s">
        <v>9</v>
      </c>
      <c r="E8">
        <v>3</v>
      </c>
      <c r="F8">
        <v>120</v>
      </c>
      <c r="G8" t="s">
        <v>10</v>
      </c>
      <c r="H8">
        <f t="shared" si="0"/>
        <v>360</v>
      </c>
      <c r="M8" t="str">
        <f>VLOOKUP(D8,Products_Data!$A:$D,2,FALSE)</f>
        <v>Laptop</v>
      </c>
      <c r="N8" t="str">
        <f>_xlfn.XLOOKUP(D8,Products_Data!$A:$A,Products_Data!$B:$B)</f>
        <v>Laptop</v>
      </c>
      <c r="O8">
        <f>VLOOKUP(D8,Products_Data!$A:$D,4,FALSE)</f>
        <v>90</v>
      </c>
      <c r="P8">
        <f>_xlfn.XLOOKUP(D8,Products_Data!$A:$A,Products_Data!$D:$D)</f>
        <v>90</v>
      </c>
      <c r="Q8">
        <f t="shared" si="1"/>
        <v>90</v>
      </c>
      <c r="R8" t="str">
        <f>VLOOKUP(D8,Products_Data!$A:$D,3,FALSE)</f>
        <v>Electronics</v>
      </c>
      <c r="S8" t="str">
        <f>_xlfn.XLOOKUP(D8,Products_Data!$A:$A,Products_Data!$C:$C)</f>
        <v>Electronics</v>
      </c>
      <c r="T8" t="str">
        <f>IF(H8&gt;500,"High","Low")</f>
        <v>Low</v>
      </c>
    </row>
    <row r="9" spans="1:20" x14ac:dyDescent="0.25">
      <c r="A9">
        <v>1003</v>
      </c>
      <c r="B9" t="s">
        <v>15</v>
      </c>
      <c r="C9" t="s">
        <v>16</v>
      </c>
      <c r="D9" t="s">
        <v>17</v>
      </c>
      <c r="E9">
        <v>2</v>
      </c>
      <c r="F9">
        <v>150</v>
      </c>
      <c r="G9" t="s">
        <v>18</v>
      </c>
      <c r="H9">
        <f t="shared" si="0"/>
        <v>300</v>
      </c>
      <c r="M9" t="str">
        <f>VLOOKUP(D9,Products_Data!$A:$D,2,FALSE)</f>
        <v>Monitor</v>
      </c>
      <c r="N9" t="str">
        <f>_xlfn.XLOOKUP(D9,Products_Data!$A:$A,Products_Data!$B:$B)</f>
        <v>Monitor</v>
      </c>
      <c r="O9">
        <f>VLOOKUP(D9,Products_Data!$A:$D,4,FALSE)</f>
        <v>110</v>
      </c>
      <c r="P9">
        <f>_xlfn.XLOOKUP(D9,Products_Data!$A:$A,Products_Data!$D:$D)</f>
        <v>110</v>
      </c>
      <c r="Q9">
        <f t="shared" si="1"/>
        <v>80</v>
      </c>
      <c r="R9" t="str">
        <f>VLOOKUP(D9,Products_Data!$A:$D,3,FALSE)</f>
        <v>Electronics</v>
      </c>
      <c r="S9" t="str">
        <f>_xlfn.XLOOKUP(D9,Products_Data!$A:$A,Products_Data!$C:$C)</f>
        <v>Electronics</v>
      </c>
      <c r="T9" t="str">
        <f>IF(H9&gt;500,"High","Low")</f>
        <v>Low</v>
      </c>
    </row>
    <row r="10" spans="1:20" x14ac:dyDescent="0.25">
      <c r="A10">
        <v>1009</v>
      </c>
      <c r="B10" t="s">
        <v>32</v>
      </c>
      <c r="C10" t="s">
        <v>33</v>
      </c>
      <c r="D10" t="s">
        <v>24</v>
      </c>
      <c r="E10">
        <v>1</v>
      </c>
      <c r="F10">
        <v>200</v>
      </c>
      <c r="G10" t="s">
        <v>10</v>
      </c>
      <c r="H10">
        <f t="shared" si="0"/>
        <v>200</v>
      </c>
      <c r="M10" t="str">
        <f>VLOOKUP(D10,Products_Data!$A:$D,2,FALSE)</f>
        <v>Office Chair</v>
      </c>
      <c r="N10" t="str">
        <f>_xlfn.XLOOKUP(D10,Products_Data!$A:$A,Products_Data!$B:$B)</f>
        <v>Office Chair</v>
      </c>
      <c r="O10">
        <f>VLOOKUP(D10,Products_Data!$A:$D,4,FALSE)</f>
        <v>150</v>
      </c>
      <c r="P10">
        <f>_xlfn.XLOOKUP(D10,Products_Data!$A:$A,Products_Data!$D:$D)</f>
        <v>150</v>
      </c>
      <c r="Q10">
        <f t="shared" si="1"/>
        <v>50</v>
      </c>
      <c r="R10" t="str">
        <f>VLOOKUP(D10,Products_Data!$A:$D,3,FALSE)</f>
        <v>Furniture</v>
      </c>
      <c r="S10" t="str">
        <f>_xlfn.XLOOKUP(D10,Products_Data!$A:$A,Products_Data!$C:$C)</f>
        <v>Furniture</v>
      </c>
      <c r="T10" t="str">
        <f>IF(H10&gt;500,"High","Low")</f>
        <v>Low</v>
      </c>
    </row>
    <row r="11" spans="1:20" x14ac:dyDescent="0.25">
      <c r="A11">
        <v>1004</v>
      </c>
      <c r="B11" t="s">
        <v>19</v>
      </c>
      <c r="C11" t="s">
        <v>20</v>
      </c>
      <c r="D11" t="s">
        <v>9</v>
      </c>
      <c r="E11">
        <v>1</v>
      </c>
      <c r="F11">
        <v>120</v>
      </c>
      <c r="G11" t="s">
        <v>21</v>
      </c>
      <c r="H11">
        <f t="shared" si="0"/>
        <v>120</v>
      </c>
      <c r="M11" t="str">
        <f>VLOOKUP(D11,Products_Data!$A:$D,2,FALSE)</f>
        <v>Laptop</v>
      </c>
      <c r="N11" t="str">
        <f>_xlfn.XLOOKUP(D11,Products_Data!$A:$A,Products_Data!$B:$B)</f>
        <v>Laptop</v>
      </c>
      <c r="O11">
        <f>VLOOKUP(D11,Products_Data!$A:$D,4,FALSE)</f>
        <v>90</v>
      </c>
      <c r="P11">
        <f>_xlfn.XLOOKUP(D11,Products_Data!$A:$A,Products_Data!$D:$D)</f>
        <v>90</v>
      </c>
      <c r="Q11">
        <f t="shared" si="1"/>
        <v>30</v>
      </c>
      <c r="R11" t="str">
        <f>VLOOKUP(D11,Products_Data!$A:$D,3,FALSE)</f>
        <v>Electronics</v>
      </c>
      <c r="S11" t="str">
        <f>_xlfn.XLOOKUP(D11,Products_Data!$A:$A,Products_Data!$C:$C)</f>
        <v>Electronics</v>
      </c>
      <c r="T11" t="str">
        <f>IF(H11&gt;500,"High","Low")</f>
        <v>Low</v>
      </c>
    </row>
    <row r="16" spans="1:20" x14ac:dyDescent="0.25">
      <c r="A16" s="3" t="s">
        <v>6</v>
      </c>
      <c r="B16" t="s">
        <v>71</v>
      </c>
      <c r="D16" s="3" t="s">
        <v>37</v>
      </c>
      <c r="E16" t="s">
        <v>72</v>
      </c>
      <c r="G16" s="3" t="s">
        <v>49</v>
      </c>
      <c r="H16" t="s">
        <v>73</v>
      </c>
    </row>
    <row r="17" spans="1:8" x14ac:dyDescent="0.25">
      <c r="A17" s="4" t="s">
        <v>18</v>
      </c>
      <c r="B17">
        <v>900</v>
      </c>
      <c r="D17" s="4" t="s">
        <v>42</v>
      </c>
      <c r="E17">
        <v>880</v>
      </c>
      <c r="G17" s="4" t="s">
        <v>61</v>
      </c>
      <c r="H17">
        <v>14000</v>
      </c>
    </row>
    <row r="18" spans="1:8" x14ac:dyDescent="0.25">
      <c r="A18" s="4" t="s">
        <v>10</v>
      </c>
      <c r="B18">
        <v>1360</v>
      </c>
      <c r="D18" s="4" t="s">
        <v>40</v>
      </c>
      <c r="E18">
        <v>3330</v>
      </c>
      <c r="G18" s="4" t="s">
        <v>58</v>
      </c>
      <c r="H18">
        <v>9000</v>
      </c>
    </row>
    <row r="19" spans="1:8" x14ac:dyDescent="0.25">
      <c r="A19" s="4" t="s">
        <v>14</v>
      </c>
      <c r="B19">
        <v>2380</v>
      </c>
      <c r="D19" s="4" t="s">
        <v>45</v>
      </c>
      <c r="E19">
        <v>1000</v>
      </c>
      <c r="G19" s="4" t="s">
        <v>55</v>
      </c>
      <c r="H19">
        <v>16000</v>
      </c>
    </row>
    <row r="20" spans="1:8" x14ac:dyDescent="0.25">
      <c r="A20" s="4" t="s">
        <v>21</v>
      </c>
      <c r="B20">
        <v>570</v>
      </c>
      <c r="D20" s="4" t="s">
        <v>75</v>
      </c>
      <c r="E20">
        <v>5210</v>
      </c>
      <c r="G20" s="4" t="s">
        <v>53</v>
      </c>
      <c r="H20">
        <v>11500</v>
      </c>
    </row>
    <row r="21" spans="1:8" x14ac:dyDescent="0.25">
      <c r="A21" s="4" t="s">
        <v>75</v>
      </c>
      <c r="B21">
        <v>5210</v>
      </c>
      <c r="G21" s="4" t="s">
        <v>75</v>
      </c>
      <c r="H21">
        <v>13000</v>
      </c>
    </row>
  </sheetData>
  <autoFilter ref="A1:S11" xr:uid="{00000000-0001-0000-0000-000000000000}"/>
  <sortState xmlns:xlrd2="http://schemas.microsoft.com/office/spreadsheetml/2017/richdata2" ref="A2:H11">
    <sortCondition descending="1" ref="H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4" sqref="G4"/>
    </sheetView>
  </sheetViews>
  <sheetFormatPr defaultRowHeight="13.8" x14ac:dyDescent="0.25"/>
  <cols>
    <col min="1" max="1" width="12.5" bestFit="1" customWidth="1"/>
    <col min="2" max="2" width="15.8984375" bestFit="1" customWidth="1"/>
    <col min="3" max="3" width="10.8984375" bestFit="1" customWidth="1"/>
    <col min="4" max="4" width="12.3984375" bestFit="1" customWidth="1"/>
    <col min="5" max="5" width="15.3984375" bestFit="1" customWidth="1"/>
    <col min="6" max="6" width="29.19921875" bestFit="1" customWidth="1"/>
    <col min="7" max="7" width="14.59765625" bestFit="1" customWidth="1"/>
  </cols>
  <sheetData>
    <row r="1" spans="1:7" x14ac:dyDescent="0.25">
      <c r="A1" s="1" t="s">
        <v>3</v>
      </c>
      <c r="B1" s="1" t="s">
        <v>36</v>
      </c>
      <c r="C1" s="1" t="s">
        <v>37</v>
      </c>
      <c r="D1" s="1" t="s">
        <v>38</v>
      </c>
      <c r="E1" s="3" t="s">
        <v>74</v>
      </c>
      <c r="F1" t="s">
        <v>76</v>
      </c>
      <c r="G1" s="2" t="s">
        <v>77</v>
      </c>
    </row>
    <row r="2" spans="1:7" x14ac:dyDescent="0.25">
      <c r="A2" t="s">
        <v>9</v>
      </c>
      <c r="B2" t="s">
        <v>39</v>
      </c>
      <c r="C2" t="s">
        <v>40</v>
      </c>
      <c r="D2">
        <v>90</v>
      </c>
      <c r="E2" s="4" t="s">
        <v>41</v>
      </c>
      <c r="F2">
        <v>880</v>
      </c>
      <c r="G2">
        <f>RANK(F2,$F$2:$F$6,0)</f>
        <v>3</v>
      </c>
    </row>
    <row r="3" spans="1:7" x14ac:dyDescent="0.25">
      <c r="A3" t="s">
        <v>13</v>
      </c>
      <c r="B3" t="s">
        <v>41</v>
      </c>
      <c r="C3" t="s">
        <v>42</v>
      </c>
      <c r="D3">
        <v>40</v>
      </c>
      <c r="E3" s="4" t="s">
        <v>39</v>
      </c>
      <c r="F3">
        <v>480</v>
      </c>
      <c r="G3">
        <f t="shared" ref="G3:G6" si="0">RANK(F3,$F$2:$F$6,0)</f>
        <v>5</v>
      </c>
    </row>
    <row r="4" spans="1:7" x14ac:dyDescent="0.25">
      <c r="A4" t="s">
        <v>17</v>
      </c>
      <c r="B4" t="s">
        <v>43</v>
      </c>
      <c r="C4" t="s">
        <v>40</v>
      </c>
      <c r="D4">
        <v>110</v>
      </c>
      <c r="E4" s="4" t="s">
        <v>43</v>
      </c>
      <c r="F4">
        <v>750</v>
      </c>
      <c r="G4">
        <f t="shared" si="0"/>
        <v>4</v>
      </c>
    </row>
    <row r="5" spans="1:7" x14ac:dyDescent="0.25">
      <c r="A5" t="s">
        <v>24</v>
      </c>
      <c r="B5" t="s">
        <v>44</v>
      </c>
      <c r="C5" t="s">
        <v>45</v>
      </c>
      <c r="D5">
        <v>150</v>
      </c>
      <c r="E5" s="4" t="s">
        <v>44</v>
      </c>
      <c r="F5">
        <v>1000</v>
      </c>
      <c r="G5">
        <f t="shared" si="0"/>
        <v>2</v>
      </c>
    </row>
    <row r="6" spans="1:7" x14ac:dyDescent="0.25">
      <c r="A6" t="s">
        <v>29</v>
      </c>
      <c r="B6" t="s">
        <v>46</v>
      </c>
      <c r="C6" t="s">
        <v>40</v>
      </c>
      <c r="D6">
        <v>220</v>
      </c>
      <c r="E6" s="4" t="s">
        <v>46</v>
      </c>
      <c r="F6">
        <v>2100</v>
      </c>
      <c r="G6">
        <f t="shared" si="0"/>
        <v>1</v>
      </c>
    </row>
    <row r="7" spans="1:7" x14ac:dyDescent="0.25">
      <c r="E7" s="4" t="s">
        <v>75</v>
      </c>
      <c r="F7">
        <v>5210</v>
      </c>
    </row>
  </sheetData>
  <autoFilter ref="A1:G7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H5" sqref="H5"/>
    </sheetView>
  </sheetViews>
  <sheetFormatPr defaultRowHeight="13.8" x14ac:dyDescent="0.25"/>
  <cols>
    <col min="1" max="1" width="14.59765625" bestFit="1" customWidth="1"/>
    <col min="2" max="2" width="18" bestFit="1" customWidth="1"/>
    <col min="3" max="3" width="13.19921875" bestFit="1" customWidth="1"/>
    <col min="4" max="4" width="8.3984375" bestFit="1" customWidth="1"/>
    <col min="5" max="5" width="8.5" bestFit="1" customWidth="1"/>
    <col min="6" max="6" width="16.3984375" bestFit="1" customWidth="1"/>
    <col min="7" max="7" width="13.19921875" bestFit="1" customWidth="1"/>
    <col min="8" max="8" width="37" bestFit="1" customWidth="1"/>
  </cols>
  <sheetData>
    <row r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2" t="s">
        <v>64</v>
      </c>
      <c r="G1" s="2" t="s">
        <v>49</v>
      </c>
      <c r="H1" s="2" t="s">
        <v>70</v>
      </c>
    </row>
    <row r="2" spans="1:8" x14ac:dyDescent="0.25">
      <c r="A2">
        <v>1</v>
      </c>
      <c r="B2" t="s">
        <v>52</v>
      </c>
      <c r="C2" t="s">
        <v>53</v>
      </c>
      <c r="D2">
        <v>12000</v>
      </c>
      <c r="E2">
        <v>1500</v>
      </c>
      <c r="F2">
        <f>AVERAGE(D2:D7)</f>
        <v>13000</v>
      </c>
      <c r="G2" t="s">
        <v>55</v>
      </c>
      <c r="H2">
        <f>COUNTIF($C:$C,G2)</f>
        <v>2</v>
      </c>
    </row>
    <row r="3" spans="1:8" x14ac:dyDescent="0.25">
      <c r="A3">
        <v>2</v>
      </c>
      <c r="B3" t="s">
        <v>54</v>
      </c>
      <c r="C3" t="s">
        <v>55</v>
      </c>
      <c r="D3">
        <v>15000</v>
      </c>
      <c r="E3">
        <v>2000</v>
      </c>
      <c r="G3" t="s">
        <v>53</v>
      </c>
      <c r="H3">
        <f>COUNTIF($C:$C,G3)</f>
        <v>2</v>
      </c>
    </row>
    <row r="4" spans="1:8" x14ac:dyDescent="0.25">
      <c r="A4">
        <v>3</v>
      </c>
      <c r="B4" t="s">
        <v>56</v>
      </c>
      <c r="C4" t="s">
        <v>53</v>
      </c>
      <c r="D4">
        <v>11000</v>
      </c>
      <c r="E4">
        <v>1200</v>
      </c>
      <c r="G4" t="s">
        <v>58</v>
      </c>
      <c r="H4">
        <f>COUNTIF($C:$C,G4)</f>
        <v>1</v>
      </c>
    </row>
    <row r="5" spans="1:8" x14ac:dyDescent="0.25">
      <c r="A5">
        <v>4</v>
      </c>
      <c r="B5" t="s">
        <v>57</v>
      </c>
      <c r="C5" t="s">
        <v>58</v>
      </c>
      <c r="D5">
        <v>9000</v>
      </c>
      <c r="E5">
        <v>800</v>
      </c>
      <c r="G5" t="s">
        <v>61</v>
      </c>
      <c r="H5">
        <f>COUNTIF($C:$C,G5)</f>
        <v>1</v>
      </c>
    </row>
    <row r="6" spans="1:8" x14ac:dyDescent="0.25">
      <c r="A6">
        <v>5</v>
      </c>
      <c r="B6" t="s">
        <v>59</v>
      </c>
      <c r="C6" t="s">
        <v>55</v>
      </c>
      <c r="D6">
        <v>17000</v>
      </c>
      <c r="E6">
        <v>2500</v>
      </c>
    </row>
    <row r="7" spans="1:8" x14ac:dyDescent="0.25">
      <c r="A7">
        <v>6</v>
      </c>
      <c r="B7" t="s">
        <v>60</v>
      </c>
      <c r="C7" t="s">
        <v>61</v>
      </c>
      <c r="D7">
        <v>14000</v>
      </c>
      <c r="E7">
        <v>1800</v>
      </c>
    </row>
  </sheetData>
  <autoFilter ref="A1:H7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Sales_Data</vt:lpstr>
      <vt:lpstr>Products_Data</vt:lpstr>
      <vt:lpstr>Employees_Data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ורד בן-יהודה</cp:lastModifiedBy>
  <dcterms:created xsi:type="dcterms:W3CDTF">2026-02-17T13:30:01Z</dcterms:created>
  <dcterms:modified xsi:type="dcterms:W3CDTF">2026-02-17T18:28:33Z</dcterms:modified>
</cp:coreProperties>
</file>